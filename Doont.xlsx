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cmatt\OneDrive\doont\"/>
    </mc:Choice>
  </mc:AlternateContent>
  <xr:revisionPtr revIDLastSave="0" documentId="13_ncr:1_{8114B6A9-3703-48EF-8176-8442CC7FA2BA}" xr6:coauthVersionLast="47" xr6:coauthVersionMax="47" xr10:uidLastSave="{00000000-0000-0000-0000-000000000000}"/>
  <bookViews>
    <workbookView xWindow="3075" yWindow="1275" windowWidth="22830" windowHeight="12885" xr2:uid="{00000000-000D-0000-FFFF-FFFF00000000}"/>
  </bookViews>
  <sheets>
    <sheet name="Game_Record" sheetId="1" r:id="rId1"/>
    <sheet name="Stat_Shee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5" i="1" l="1"/>
  <c r="K24" i="1"/>
  <c r="A25" i="1"/>
  <c r="A24" i="1"/>
  <c r="A23" i="1"/>
  <c r="A22" i="1"/>
  <c r="K23" i="1"/>
  <c r="K22" i="1"/>
  <c r="K21" i="1"/>
  <c r="A20" i="1"/>
  <c r="A21" i="1"/>
  <c r="A18" i="1"/>
  <c r="A19" i="1"/>
  <c r="A16" i="1"/>
  <c r="A17" i="1"/>
  <c r="A15" i="1"/>
  <c r="A14" i="1"/>
  <c r="A13" i="1"/>
  <c r="A12" i="1"/>
  <c r="A11" i="1"/>
  <c r="A10" i="1"/>
  <c r="A9" i="1"/>
  <c r="A8" i="1"/>
  <c r="A2" i="1"/>
  <c r="C2" i="2"/>
  <c r="C3" i="2"/>
  <c r="H2" i="1"/>
  <c r="A3" i="1"/>
  <c r="A4" i="1"/>
  <c r="A5" i="1"/>
  <c r="A6" i="1"/>
  <c r="A7" i="1"/>
  <c r="D6" i="2"/>
  <c r="E6" i="2"/>
  <c r="F6" i="2"/>
  <c r="D5" i="2"/>
  <c r="E5" i="2"/>
  <c r="F5" i="2"/>
  <c r="D4" i="2"/>
  <c r="E4" i="2"/>
  <c r="F4" i="2"/>
  <c r="C6" i="2"/>
  <c r="C5" i="2"/>
  <c r="C4" i="2"/>
  <c r="D3" i="2"/>
  <c r="E3" i="2"/>
  <c r="F3" i="2"/>
  <c r="F2" i="2"/>
  <c r="E2" i="2"/>
  <c r="D2" i="2"/>
  <c r="B4" i="2" l="1"/>
  <c r="B5" i="2"/>
  <c r="G5" i="2" s="1"/>
  <c r="K6" i="2"/>
  <c r="B2" i="2"/>
  <c r="B6" i="2"/>
  <c r="I6" i="2" s="1"/>
  <c r="K4" i="2"/>
  <c r="K5" i="2"/>
  <c r="B3" i="2"/>
  <c r="K3" i="2"/>
  <c r="K2" i="2"/>
  <c r="H5" i="2" l="1"/>
  <c r="H6" i="2"/>
  <c r="J4" i="2"/>
  <c r="I5" i="2"/>
  <c r="I3" i="2"/>
  <c r="I4" i="2"/>
  <c r="H2" i="2"/>
  <c r="I2" i="2"/>
  <c r="H3" i="2"/>
  <c r="G3" i="2"/>
  <c r="J3" i="2"/>
  <c r="J5" i="2"/>
  <c r="H4" i="2"/>
  <c r="G4" i="2"/>
  <c r="G6" i="2"/>
  <c r="J6" i="2"/>
  <c r="G2" i="2"/>
  <c r="J2" i="2"/>
</calcChain>
</file>

<file path=xl/sharedStrings.xml><?xml version="1.0" encoding="utf-8"?>
<sst xmlns="http://schemas.openxmlformats.org/spreadsheetml/2006/main" count="122" uniqueCount="26">
  <si>
    <t>Game #</t>
  </si>
  <si>
    <t>Date</t>
  </si>
  <si>
    <t>1st Place</t>
  </si>
  <si>
    <t>2nd Place</t>
  </si>
  <si>
    <t>3rd Place</t>
  </si>
  <si>
    <t>4th Place</t>
  </si>
  <si>
    <t>Player</t>
  </si>
  <si>
    <t>Games Played</t>
  </si>
  <si>
    <t>1st</t>
  </si>
  <si>
    <t>2nd</t>
  </si>
  <si>
    <t>3rd</t>
  </si>
  <si>
    <t>4th</t>
  </si>
  <si>
    <t>Total Points</t>
  </si>
  <si>
    <t>Avg Points/Game</t>
  </si>
  <si>
    <t>Win %</t>
  </si>
  <si>
    <t>Doanage</t>
  </si>
  <si>
    <t>SiderFace</t>
  </si>
  <si>
    <t>Player1</t>
  </si>
  <si>
    <t>SimpleJack</t>
  </si>
  <si>
    <t>DrSystomatix</t>
  </si>
  <si>
    <t>Top 2 %</t>
  </si>
  <si>
    <t>Participation %</t>
  </si>
  <si>
    <t>Total Games Played</t>
  </si>
  <si>
    <t>Start</t>
  </si>
  <si>
    <t>End</t>
  </si>
  <si>
    <t>Duration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</si>
</sst>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2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0" fontId="0" fillId="0" borderId="0" xfId="0" applyNumberForma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2" fontId="0" fillId="0" borderId="0" xfId="0" applyNumberFormat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2" fontId="3" fillId="2" borderId="1" xfId="0" applyNumberFormat="1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164" fontId="4" fillId="2" borderId="1" xfId="0" applyNumberFormat="1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20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5"/>
  <sheetViews>
    <sheetView tabSelected="1" topLeftCell="A5" workbookViewId="0">
      <selection activeCell="L22" sqref="L22"/>
    </sheetView>
  </sheetViews>
  <sheetFormatPr defaultRowHeight="15" x14ac:dyDescent="0.25"/>
  <cols>
    <col min="1" max="1" width="10" style="5" customWidth="1"/>
    <col min="2" max="2" width="14" style="6" customWidth="1"/>
    <col min="3" max="3" width="13.7109375" style="5" customWidth="1"/>
    <col min="4" max="4" width="14.7109375" style="5" customWidth="1"/>
    <col min="5" max="5" width="16.140625" style="5" customWidth="1"/>
    <col min="6" max="6" width="17.42578125" style="5" customWidth="1"/>
    <col min="7" max="7" width="9.140625" style="5"/>
    <col min="8" max="8" width="25.5703125" style="5" customWidth="1"/>
    <col min="9" max="9" width="13.5703125" style="5" customWidth="1"/>
    <col min="10" max="10" width="12.85546875" style="5" customWidth="1"/>
    <col min="11" max="11" width="13" style="5" customWidth="1"/>
    <col min="12" max="16384" width="9.140625" style="5"/>
  </cols>
  <sheetData>
    <row r="1" spans="1:11" ht="37.5" x14ac:dyDescent="0.25">
      <c r="A1" s="14" t="s">
        <v>0</v>
      </c>
      <c r="B1" s="15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6"/>
      <c r="H1" s="14" t="s">
        <v>22</v>
      </c>
      <c r="I1" s="14" t="s">
        <v>23</v>
      </c>
      <c r="J1" s="14" t="s">
        <v>24</v>
      </c>
      <c r="K1" s="14" t="s">
        <v>25</v>
      </c>
    </row>
    <row r="2" spans="1:11" ht="21" x14ac:dyDescent="0.25">
      <c r="A2" s="2">
        <f>ROW()-1</f>
        <v>1</v>
      </c>
      <c r="B2" s="4">
        <v>45865</v>
      </c>
      <c r="C2" s="2" t="s">
        <v>15</v>
      </c>
      <c r="D2" s="2" t="s">
        <v>16</v>
      </c>
      <c r="E2" s="2" t="s">
        <v>17</v>
      </c>
      <c r="F2" s="2" t="s">
        <v>18</v>
      </c>
      <c r="H2" s="17">
        <f>COUNTA(Game_Record!B2:B101)</f>
        <v>24</v>
      </c>
    </row>
    <row r="3" spans="1:11" x14ac:dyDescent="0.25">
      <c r="A3" s="2">
        <f t="shared" ref="A3:A7" si="0">ROW()-1</f>
        <v>2</v>
      </c>
      <c r="B3" s="4">
        <v>45872</v>
      </c>
      <c r="C3" s="2" t="s">
        <v>15</v>
      </c>
      <c r="D3" s="2" t="s">
        <v>19</v>
      </c>
      <c r="E3" s="2" t="s">
        <v>17</v>
      </c>
      <c r="F3" s="2" t="s">
        <v>18</v>
      </c>
    </row>
    <row r="4" spans="1:11" x14ac:dyDescent="0.25">
      <c r="A4" s="2">
        <f t="shared" si="0"/>
        <v>3</v>
      </c>
      <c r="B4" s="4">
        <v>45876</v>
      </c>
      <c r="C4" s="2" t="s">
        <v>17</v>
      </c>
      <c r="D4" s="2" t="s">
        <v>16</v>
      </c>
      <c r="E4" s="2" t="s">
        <v>19</v>
      </c>
      <c r="F4" s="2" t="s">
        <v>18</v>
      </c>
    </row>
    <row r="5" spans="1:11" x14ac:dyDescent="0.25">
      <c r="A5" s="2">
        <f t="shared" si="0"/>
        <v>4</v>
      </c>
      <c r="B5" s="6">
        <v>45879</v>
      </c>
      <c r="C5" s="5" t="s">
        <v>15</v>
      </c>
      <c r="D5" s="2" t="s">
        <v>16</v>
      </c>
      <c r="E5" s="5" t="s">
        <v>17</v>
      </c>
      <c r="F5" s="5" t="s">
        <v>19</v>
      </c>
    </row>
    <row r="6" spans="1:11" x14ac:dyDescent="0.25">
      <c r="A6" s="2">
        <f t="shared" si="0"/>
        <v>5</v>
      </c>
      <c r="B6" s="6">
        <v>45883</v>
      </c>
      <c r="C6" s="2" t="s">
        <v>16</v>
      </c>
      <c r="D6" s="2" t="s">
        <v>17</v>
      </c>
      <c r="E6" s="2" t="s">
        <v>18</v>
      </c>
      <c r="F6" s="2" t="s">
        <v>19</v>
      </c>
    </row>
    <row r="7" spans="1:11" x14ac:dyDescent="0.25">
      <c r="A7" s="2">
        <f t="shared" si="0"/>
        <v>6</v>
      </c>
      <c r="B7" s="6">
        <v>45888</v>
      </c>
      <c r="C7" s="2" t="s">
        <v>17</v>
      </c>
      <c r="D7" s="5" t="s">
        <v>15</v>
      </c>
      <c r="E7" s="2" t="s">
        <v>19</v>
      </c>
      <c r="F7" s="2" t="s">
        <v>18</v>
      </c>
    </row>
    <row r="8" spans="1:11" x14ac:dyDescent="0.25">
      <c r="A8" s="5">
        <f t="shared" ref="A8:A25" si="1">ROW()-1</f>
        <v>7</v>
      </c>
      <c r="B8" s="6">
        <v>45890</v>
      </c>
      <c r="C8" s="5" t="s">
        <v>15</v>
      </c>
      <c r="D8" s="5" t="s">
        <v>16</v>
      </c>
      <c r="E8" s="5" t="s">
        <v>19</v>
      </c>
      <c r="F8" s="2" t="s">
        <v>18</v>
      </c>
    </row>
    <row r="9" spans="1:11" x14ac:dyDescent="0.25">
      <c r="A9" s="5">
        <f t="shared" si="1"/>
        <v>8</v>
      </c>
      <c r="B9" s="6">
        <v>45899</v>
      </c>
      <c r="C9" s="5" t="s">
        <v>17</v>
      </c>
      <c r="D9" s="5" t="s">
        <v>15</v>
      </c>
      <c r="E9" s="5" t="s">
        <v>18</v>
      </c>
      <c r="F9" s="5" t="s">
        <v>19</v>
      </c>
    </row>
    <row r="10" spans="1:11" x14ac:dyDescent="0.25">
      <c r="A10" s="5">
        <f t="shared" si="1"/>
        <v>9</v>
      </c>
      <c r="B10" s="6">
        <v>45901</v>
      </c>
      <c r="C10" s="5" t="s">
        <v>15</v>
      </c>
      <c r="D10" s="5" t="s">
        <v>17</v>
      </c>
      <c r="E10" s="5" t="s">
        <v>18</v>
      </c>
      <c r="F10" s="5" t="s">
        <v>19</v>
      </c>
    </row>
    <row r="11" spans="1:11" x14ac:dyDescent="0.25">
      <c r="A11" s="5">
        <f t="shared" si="1"/>
        <v>10</v>
      </c>
      <c r="B11" s="6">
        <v>45906</v>
      </c>
      <c r="C11" s="5" t="s">
        <v>15</v>
      </c>
      <c r="D11" s="5" t="s">
        <v>16</v>
      </c>
      <c r="E11" s="5" t="s">
        <v>17</v>
      </c>
      <c r="F11" s="5" t="s">
        <v>18</v>
      </c>
    </row>
    <row r="12" spans="1:11" x14ac:dyDescent="0.25">
      <c r="A12" s="5">
        <f t="shared" si="1"/>
        <v>11</v>
      </c>
      <c r="B12" s="6">
        <v>45914</v>
      </c>
      <c r="C12" s="5" t="s">
        <v>15</v>
      </c>
      <c r="D12" s="5" t="s">
        <v>17</v>
      </c>
      <c r="E12" s="5" t="s">
        <v>19</v>
      </c>
      <c r="F12" s="5" t="s">
        <v>18</v>
      </c>
    </row>
    <row r="13" spans="1:11" x14ac:dyDescent="0.25">
      <c r="A13" s="5">
        <f t="shared" si="1"/>
        <v>12</v>
      </c>
      <c r="B13" s="6">
        <v>45923</v>
      </c>
      <c r="C13" s="5" t="s">
        <v>15</v>
      </c>
      <c r="D13" s="5" t="s">
        <v>17</v>
      </c>
      <c r="E13" s="5" t="s">
        <v>18</v>
      </c>
      <c r="F13" s="5" t="s">
        <v>19</v>
      </c>
    </row>
    <row r="14" spans="1:11" x14ac:dyDescent="0.25">
      <c r="A14" s="5">
        <f t="shared" si="1"/>
        <v>13</v>
      </c>
      <c r="B14" s="6">
        <v>45944</v>
      </c>
      <c r="C14" s="5" t="s">
        <v>16</v>
      </c>
      <c r="D14" s="5" t="s">
        <v>18</v>
      </c>
      <c r="E14" s="5" t="s">
        <v>19</v>
      </c>
      <c r="F14" s="5" t="s">
        <v>17</v>
      </c>
    </row>
    <row r="15" spans="1:11" x14ac:dyDescent="0.25">
      <c r="A15" s="5">
        <f t="shared" si="1"/>
        <v>14</v>
      </c>
      <c r="B15" s="6">
        <v>45951</v>
      </c>
      <c r="C15" s="5" t="s">
        <v>16</v>
      </c>
      <c r="D15" s="5" t="s">
        <v>15</v>
      </c>
      <c r="E15" s="5" t="s">
        <v>19</v>
      </c>
      <c r="F15" s="5" t="s">
        <v>18</v>
      </c>
    </row>
    <row r="16" spans="1:11" x14ac:dyDescent="0.25">
      <c r="A16" s="5">
        <f t="shared" si="1"/>
        <v>15</v>
      </c>
      <c r="B16" s="6">
        <v>45956</v>
      </c>
      <c r="C16" s="5" t="s">
        <v>16</v>
      </c>
      <c r="D16" s="5" t="s">
        <v>19</v>
      </c>
      <c r="E16" s="5" t="s">
        <v>18</v>
      </c>
      <c r="F16" s="5" t="s">
        <v>17</v>
      </c>
    </row>
    <row r="17" spans="1:11" x14ac:dyDescent="0.25">
      <c r="A17" s="5">
        <f t="shared" si="1"/>
        <v>16</v>
      </c>
      <c r="B17" s="6">
        <v>45981</v>
      </c>
      <c r="C17" s="5" t="s">
        <v>16</v>
      </c>
      <c r="D17" s="5" t="s">
        <v>17</v>
      </c>
      <c r="E17" s="5" t="s">
        <v>15</v>
      </c>
      <c r="F17" s="5" t="s">
        <v>18</v>
      </c>
    </row>
    <row r="18" spans="1:11" x14ac:dyDescent="0.25">
      <c r="A18" s="5">
        <f t="shared" si="1"/>
        <v>17</v>
      </c>
      <c r="B18" s="6">
        <v>46006</v>
      </c>
      <c r="C18" s="5" t="s">
        <v>16</v>
      </c>
      <c r="D18" s="5" t="s">
        <v>19</v>
      </c>
      <c r="E18" s="5" t="s">
        <v>17</v>
      </c>
      <c r="F18" s="5" t="s">
        <v>18</v>
      </c>
    </row>
    <row r="19" spans="1:11" x14ac:dyDescent="0.25">
      <c r="A19" s="5">
        <f t="shared" si="1"/>
        <v>18</v>
      </c>
      <c r="B19" s="6">
        <v>46027</v>
      </c>
      <c r="C19" s="5" t="s">
        <v>16</v>
      </c>
      <c r="D19" s="5" t="s">
        <v>17</v>
      </c>
      <c r="E19" s="5" t="s">
        <v>18</v>
      </c>
      <c r="F19" s="5" t="s">
        <v>19</v>
      </c>
    </row>
    <row r="20" spans="1:11" x14ac:dyDescent="0.25">
      <c r="A20" s="5">
        <f t="shared" si="1"/>
        <v>19</v>
      </c>
      <c r="B20" s="6">
        <v>46032</v>
      </c>
      <c r="C20" s="5" t="s">
        <v>16</v>
      </c>
      <c r="D20" s="5" t="s">
        <v>17</v>
      </c>
      <c r="E20" s="5" t="s">
        <v>15</v>
      </c>
      <c r="F20" s="5" t="s">
        <v>18</v>
      </c>
    </row>
    <row r="21" spans="1:11" x14ac:dyDescent="0.25">
      <c r="A21" s="5">
        <f t="shared" si="1"/>
        <v>20</v>
      </c>
      <c r="B21" s="6">
        <v>46050</v>
      </c>
      <c r="C21" s="5" t="s">
        <v>17</v>
      </c>
      <c r="D21" s="5" t="s">
        <v>18</v>
      </c>
      <c r="E21" s="5" t="s">
        <v>19</v>
      </c>
      <c r="F21" s="5" t="s">
        <v>15</v>
      </c>
      <c r="I21" s="18">
        <v>0.87222222222222223</v>
      </c>
      <c r="J21" s="18">
        <v>0.9458333333333333</v>
      </c>
      <c r="K21" s="18">
        <f>MOD(J21 - I21, 1)</f>
        <v>7.3611111111111072E-2</v>
      </c>
    </row>
    <row r="22" spans="1:11" x14ac:dyDescent="0.25">
      <c r="A22" s="5">
        <f t="shared" si="1"/>
        <v>21</v>
      </c>
      <c r="B22" s="6">
        <v>46058</v>
      </c>
      <c r="C22" s="5" t="s">
        <v>18</v>
      </c>
      <c r="D22" s="5" t="s">
        <v>19</v>
      </c>
      <c r="E22" s="5" t="s">
        <v>15</v>
      </c>
      <c r="F22" s="5" t="s">
        <v>16</v>
      </c>
      <c r="I22" s="18">
        <v>0.87777777777777777</v>
      </c>
      <c r="J22" s="18">
        <v>0.95763888888888893</v>
      </c>
      <c r="K22" s="18">
        <f>MOD(J22 - I22, 1)</f>
        <v>7.986111111111116E-2</v>
      </c>
    </row>
    <row r="23" spans="1:11" x14ac:dyDescent="0.25">
      <c r="A23" s="5">
        <f t="shared" si="1"/>
        <v>22</v>
      </c>
      <c r="B23" s="6">
        <v>46063</v>
      </c>
      <c r="C23" s="5" t="s">
        <v>17</v>
      </c>
      <c r="D23" s="5" t="s">
        <v>15</v>
      </c>
      <c r="E23" s="5" t="s">
        <v>19</v>
      </c>
      <c r="F23" s="5" t="s">
        <v>18</v>
      </c>
      <c r="I23" s="18">
        <v>0.86736111111111114</v>
      </c>
      <c r="J23" s="18">
        <v>0.92291666666666672</v>
      </c>
      <c r="K23" s="18">
        <f>MOD(J23 - I23, 1)</f>
        <v>5.555555555555558E-2</v>
      </c>
    </row>
    <row r="24" spans="1:11" x14ac:dyDescent="0.25">
      <c r="A24" s="5">
        <f t="shared" si="1"/>
        <v>23</v>
      </c>
      <c r="B24" s="6">
        <v>46080</v>
      </c>
      <c r="C24" s="5" t="s">
        <v>15</v>
      </c>
      <c r="D24" s="5" t="s">
        <v>17</v>
      </c>
      <c r="E24" s="5" t="s">
        <v>19</v>
      </c>
      <c r="F24" s="5" t="s">
        <v>18</v>
      </c>
      <c r="I24" s="18">
        <v>0.87847222222222221</v>
      </c>
      <c r="J24" s="18">
        <v>0.94513888888888886</v>
      </c>
      <c r="K24" s="18">
        <f>MOD(J24 - I24, 1)</f>
        <v>6.6666666666666652E-2</v>
      </c>
    </row>
    <row r="25" spans="1:11" x14ac:dyDescent="0.25">
      <c r="A25" s="5">
        <f t="shared" si="1"/>
        <v>24</v>
      </c>
      <c r="B25" s="6">
        <v>46089</v>
      </c>
      <c r="C25" s="5" t="s">
        <v>15</v>
      </c>
      <c r="D25" s="5" t="s">
        <v>17</v>
      </c>
      <c r="E25" s="5" t="s">
        <v>19</v>
      </c>
      <c r="F25" s="5" t="s">
        <v>16</v>
      </c>
      <c r="I25" s="18">
        <v>0.85833333333333328</v>
      </c>
      <c r="J25" s="18">
        <v>0.92361111111111116</v>
      </c>
      <c r="K25" s="18">
        <f>MOD(J25 - I25, 1)</f>
        <v>6.5277777777777879E-2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44F9B-2DCC-4DAB-89DA-045932047514}">
  <dimension ref="A1:K9"/>
  <sheetViews>
    <sheetView workbookViewId="0">
      <selection activeCell="B14" sqref="B14"/>
    </sheetView>
  </sheetViews>
  <sheetFormatPr defaultRowHeight="15" x14ac:dyDescent="0.25"/>
  <cols>
    <col min="1" max="1" width="23.5703125" style="5" customWidth="1"/>
    <col min="2" max="2" width="13.28515625" style="5" customWidth="1"/>
    <col min="3" max="3" width="10.5703125" style="5" customWidth="1"/>
    <col min="4" max="5" width="10.28515625" style="5" customWidth="1"/>
    <col min="6" max="6" width="10.140625" style="5" customWidth="1"/>
    <col min="7" max="7" width="14.85546875" style="5" customWidth="1"/>
    <col min="8" max="8" width="13.28515625" style="5" customWidth="1"/>
    <col min="9" max="9" width="20.28515625" style="5" customWidth="1"/>
    <col min="10" max="10" width="18" style="11" customWidth="1"/>
    <col min="11" max="11" width="13.28515625" style="5" customWidth="1"/>
    <col min="12" max="16384" width="9.140625" style="5"/>
  </cols>
  <sheetData>
    <row r="1" spans="1:11" ht="37.5" x14ac:dyDescent="0.25">
      <c r="A1" s="12" t="s">
        <v>6</v>
      </c>
      <c r="B1" s="12" t="s">
        <v>7</v>
      </c>
      <c r="C1" s="12" t="s">
        <v>8</v>
      </c>
      <c r="D1" s="12" t="s">
        <v>9</v>
      </c>
      <c r="E1" s="12" t="s">
        <v>10</v>
      </c>
      <c r="F1" s="12" t="s">
        <v>11</v>
      </c>
      <c r="G1" s="12" t="s">
        <v>14</v>
      </c>
      <c r="H1" s="12" t="s">
        <v>20</v>
      </c>
      <c r="I1" s="12" t="s">
        <v>21</v>
      </c>
      <c r="J1" s="13" t="s">
        <v>13</v>
      </c>
      <c r="K1" s="12" t="s">
        <v>12</v>
      </c>
    </row>
    <row r="2" spans="1:11" ht="15.75" x14ac:dyDescent="0.25">
      <c r="A2" s="9" t="s">
        <v>15</v>
      </c>
      <c r="B2" s="2">
        <f xml:space="preserve"> C2 + D2 + E2 + F2</f>
        <v>18</v>
      </c>
      <c r="C2" s="2">
        <f>COUNTIF(Game_Record!C2:C101, "Doanage")</f>
        <v>10</v>
      </c>
      <c r="D2" s="2">
        <f>COUNTIF(Game_Record!D2:D101, "Doanage")</f>
        <v>4</v>
      </c>
      <c r="E2" s="2">
        <f>COUNTIF(Game_Record!E2:E101, "Doanage")</f>
        <v>3</v>
      </c>
      <c r="F2" s="2">
        <f>COUNTIF(Game_Record!F2:F101, "Doanage")</f>
        <v>1</v>
      </c>
      <c r="G2" s="3">
        <f xml:space="preserve"> C2 / B2</f>
        <v>0.55555555555555558</v>
      </c>
      <c r="H2" s="7">
        <f xml:space="preserve"> (C2+D2) / B2</f>
        <v>0.77777777777777779</v>
      </c>
      <c r="I2" s="7">
        <f xml:space="preserve"> B2 / Game_Record!$H$2</f>
        <v>0.75</v>
      </c>
      <c r="J2" s="10">
        <f xml:space="preserve"> K2/B2</f>
        <v>3.6111111111111112</v>
      </c>
      <c r="K2" s="2">
        <f xml:space="preserve"> (C2 * 5) + (D2 * 3) + (E2 * 1)</f>
        <v>65</v>
      </c>
    </row>
    <row r="3" spans="1:11" ht="15.75" x14ac:dyDescent="0.25">
      <c r="A3" s="9" t="s">
        <v>16</v>
      </c>
      <c r="B3" s="2">
        <f xml:space="preserve"> C3 + D3 + E3 + F3</f>
        <v>15</v>
      </c>
      <c r="C3" s="2">
        <f>COUNTIF(Game_Record!C2:C101, "SiderFace")</f>
        <v>8</v>
      </c>
      <c r="D3" s="2">
        <f>COUNTIF(Game_Record!D2:D101, "SiderFace")</f>
        <v>5</v>
      </c>
      <c r="E3" s="2">
        <f>COUNTIF(Game_Record!E2:E101, "SiderFace")</f>
        <v>0</v>
      </c>
      <c r="F3" s="2">
        <f>COUNTIF(Game_Record!F2:F101, "SiderFace")</f>
        <v>2</v>
      </c>
      <c r="G3" s="3">
        <f xml:space="preserve"> C3 / B3</f>
        <v>0.53333333333333333</v>
      </c>
      <c r="H3" s="7">
        <f xml:space="preserve"> (C3+D3) / B3</f>
        <v>0.8666666666666667</v>
      </c>
      <c r="I3" s="7">
        <f xml:space="preserve"> B3 / Game_Record!$H$2</f>
        <v>0.625</v>
      </c>
      <c r="J3" s="10">
        <f xml:space="preserve"> K3/B3</f>
        <v>3.6666666666666665</v>
      </c>
      <c r="K3" s="2">
        <f xml:space="preserve"> (C3 * 5) + (D3 * 3) + (E3 * 1)</f>
        <v>55</v>
      </c>
    </row>
    <row r="4" spans="1:11" ht="15.75" x14ac:dyDescent="0.25">
      <c r="A4" s="9" t="s">
        <v>19</v>
      </c>
      <c r="B4" s="2">
        <f xml:space="preserve"> C4 + D4 + E4 + F4</f>
        <v>20</v>
      </c>
      <c r="C4" s="2">
        <f>COUNTIF(Game_Record!C2:C101, "DrSystomatix")</f>
        <v>0</v>
      </c>
      <c r="D4" s="2">
        <f>COUNTIF(Game_Record!D2:D101, "DrSystomatix")</f>
        <v>4</v>
      </c>
      <c r="E4" s="2">
        <f>COUNTIF(Game_Record!E2:E101, "DrSystomatix")</f>
        <v>10</v>
      </c>
      <c r="F4" s="2">
        <f>COUNTIF(Game_Record!F2:F101, "DrSystomatix")</f>
        <v>6</v>
      </c>
      <c r="G4" s="3">
        <f xml:space="preserve"> C4 / B4</f>
        <v>0</v>
      </c>
      <c r="H4" s="7">
        <f xml:space="preserve"> (C4+D4) / B4</f>
        <v>0.2</v>
      </c>
      <c r="I4" s="7">
        <f xml:space="preserve"> B4 / Game_Record!$H$2</f>
        <v>0.83333333333333337</v>
      </c>
      <c r="J4" s="10">
        <f xml:space="preserve"> K4/B4</f>
        <v>1.1000000000000001</v>
      </c>
      <c r="K4" s="2">
        <f xml:space="preserve"> (C4 * 5) + (D4 * 3) + (E4 * 1)</f>
        <v>22</v>
      </c>
    </row>
    <row r="5" spans="1:11" ht="15.75" x14ac:dyDescent="0.25">
      <c r="A5" s="9" t="s">
        <v>17</v>
      </c>
      <c r="B5" s="2">
        <f xml:space="preserve"> C5 + D5 + E5 + F5</f>
        <v>21</v>
      </c>
      <c r="C5" s="2">
        <f>COUNTIF(Game_Record!C2:C101, "Player1")</f>
        <v>5</v>
      </c>
      <c r="D5" s="2">
        <f>COUNTIF(Game_Record!D2:D101, "Player1")</f>
        <v>9</v>
      </c>
      <c r="E5" s="2">
        <f>COUNTIF(Game_Record!E2:E101, "Player1")</f>
        <v>5</v>
      </c>
      <c r="F5" s="2">
        <f>COUNTIF(Game_Record!F2:F101, "Player1")</f>
        <v>2</v>
      </c>
      <c r="G5" s="3">
        <f xml:space="preserve"> C5 / B5</f>
        <v>0.23809523809523808</v>
      </c>
      <c r="H5" s="7">
        <f xml:space="preserve"> (C5+D5) / B5</f>
        <v>0.66666666666666663</v>
      </c>
      <c r="I5" s="7">
        <f xml:space="preserve"> B5 / Game_Record!$H$2</f>
        <v>0.875</v>
      </c>
      <c r="J5" s="10">
        <f xml:space="preserve"> K5/B5</f>
        <v>2.7142857142857144</v>
      </c>
      <c r="K5" s="2">
        <f xml:space="preserve"> (C5 * 5) + (D5 * 3) + (E5 * 1)</f>
        <v>57</v>
      </c>
    </row>
    <row r="6" spans="1:11" ht="15.75" x14ac:dyDescent="0.25">
      <c r="A6" s="9" t="s">
        <v>18</v>
      </c>
      <c r="B6" s="2">
        <f xml:space="preserve"> C6 + D6 + E6 + F6</f>
        <v>22</v>
      </c>
      <c r="C6" s="2">
        <f>COUNTIF(Game_Record!C2:C101, "SimpleJack")</f>
        <v>1</v>
      </c>
      <c r="D6" s="2">
        <f>COUNTIF(Game_Record!D2:D101, "SimpleJack")</f>
        <v>2</v>
      </c>
      <c r="E6" s="2">
        <f>COUNTIF(Game_Record!E2:E101, "SimpleJack")</f>
        <v>6</v>
      </c>
      <c r="F6" s="2">
        <f>COUNTIF(Game_Record!F2:F101, "SimpleJack")</f>
        <v>13</v>
      </c>
      <c r="G6" s="3">
        <f xml:space="preserve"> C6 / B6</f>
        <v>4.5454545454545456E-2</v>
      </c>
      <c r="H6" s="7">
        <f xml:space="preserve"> (C6+D6) / B6</f>
        <v>0.13636363636363635</v>
      </c>
      <c r="I6" s="7">
        <f xml:space="preserve"> B6 / Game_Record!$H$2</f>
        <v>0.91666666666666663</v>
      </c>
      <c r="J6" s="10">
        <f xml:space="preserve"> K6/B6</f>
        <v>0.77272727272727271</v>
      </c>
      <c r="K6" s="2">
        <f xml:space="preserve"> (C6 * 5) + (D6 * 3) + (E6 * 1)</f>
        <v>17</v>
      </c>
    </row>
    <row r="9" spans="1:11" x14ac:dyDescent="0.25">
      <c r="A9" s="1"/>
      <c r="B9" s="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Game_Record</vt:lpstr>
      <vt:lpstr>Stat_Sheet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Charles Doan</dc:creator>
  <cp:lastModifiedBy>Doan, Charles M.</cp:lastModifiedBy>
  <dcterms:created xsi:type="dcterms:W3CDTF">2015-06-05T18:17:20Z</dcterms:created>
  <dcterms:modified xsi:type="dcterms:W3CDTF">2026-03-09T02:25:20Z</dcterms:modified>
</cp:coreProperties>
</file>