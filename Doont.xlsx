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c92a8a49db0a351e/doont/"/>
    </mc:Choice>
  </mc:AlternateContent>
  <xr:revisionPtr revIDLastSave="11" documentId="13_ncr:1_{30CEDEA0-FD72-411F-96AC-90F9910C8E27}" xr6:coauthVersionLast="47" xr6:coauthVersionMax="47" xr10:uidLastSave="{B8F5DB5D-BFE0-4A53-8FFF-D754D661B14E}"/>
  <bookViews>
    <workbookView xWindow="3210" yWindow="103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" l="1"/>
  <c r="A31" i="1"/>
  <c r="K30" i="1"/>
  <c r="A30" i="1"/>
  <c r="K29" i="1"/>
  <c r="A29" i="1"/>
  <c r="K28" i="1"/>
  <c r="A28" i="1"/>
  <c r="K27" i="1"/>
  <c r="A27" i="1"/>
  <c r="A26" i="1"/>
  <c r="K26" i="1"/>
  <c r="K25" i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2" i="2" l="1"/>
  <c r="B4" i="2"/>
  <c r="B5" i="2"/>
  <c r="G5" i="2" s="1"/>
  <c r="K6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<sst xmlns="http://schemas.openxmlformats.org/spreadsheetml/2006/main" count="146" uniqueCount="26">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</sst>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topLeftCell="A8" workbookViewId="0">
      <selection activeCell="A32" sqref="A32:XFD32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30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32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 t="shared" ref="K21:K32" si="2"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 t="shared" si="2"/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 t="shared" si="2"/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 t="shared" si="2"/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 t="shared" si="2"/>
        <v>6.5277777777777879E-2</v>
      </c>
    </row>
    <row r="26" spans="1:11" x14ac:dyDescent="0.25">
      <c r="A26" s="5">
        <f t="shared" si="1"/>
        <v>25</v>
      </c>
      <c r="B26" s="6">
        <v>46104</v>
      </c>
      <c r="C26" s="5" t="s">
        <v>15</v>
      </c>
      <c r="D26" s="5" t="s">
        <v>19</v>
      </c>
      <c r="E26" s="5" t="s">
        <v>18</v>
      </c>
      <c r="F26" s="5" t="s">
        <v>17</v>
      </c>
      <c r="I26" s="18">
        <v>0.86111111111111116</v>
      </c>
      <c r="J26" s="18">
        <v>0.91736111111111107</v>
      </c>
      <c r="K26" s="18">
        <f t="shared" si="2"/>
        <v>5.6249999999999911E-2</v>
      </c>
    </row>
    <row r="27" spans="1:11" x14ac:dyDescent="0.25">
      <c r="A27" s="5">
        <f t="shared" si="1"/>
        <v>26</v>
      </c>
      <c r="B27" s="6">
        <v>46118</v>
      </c>
      <c r="C27" s="5" t="s">
        <v>15</v>
      </c>
      <c r="D27" s="5" t="s">
        <v>18</v>
      </c>
      <c r="E27" s="5" t="s">
        <v>19</v>
      </c>
      <c r="F27" s="5" t="s">
        <v>17</v>
      </c>
      <c r="I27" s="18">
        <v>0.87708333333333333</v>
      </c>
      <c r="J27" s="18">
        <v>0.95277777777777772</v>
      </c>
      <c r="K27" s="18">
        <f t="shared" si="2"/>
        <v>7.5694444444444398E-2</v>
      </c>
    </row>
    <row r="28" spans="1:11" x14ac:dyDescent="0.25">
      <c r="A28" s="5">
        <f t="shared" si="1"/>
        <v>27</v>
      </c>
      <c r="B28" s="6">
        <v>46125</v>
      </c>
      <c r="C28" s="5" t="s">
        <v>15</v>
      </c>
      <c r="D28" s="5" t="s">
        <v>17</v>
      </c>
      <c r="E28" s="5" t="s">
        <v>19</v>
      </c>
      <c r="F28" s="5" t="s">
        <v>18</v>
      </c>
      <c r="I28" s="18">
        <v>0.87430555555555556</v>
      </c>
      <c r="J28" s="18">
        <v>0.92986111111111114</v>
      </c>
      <c r="K28" s="18">
        <f t="shared" si="2"/>
        <v>5.555555555555558E-2</v>
      </c>
    </row>
    <row r="29" spans="1:11" x14ac:dyDescent="0.25">
      <c r="A29" s="5">
        <f t="shared" si="1"/>
        <v>28</v>
      </c>
      <c r="B29" s="6">
        <v>46135</v>
      </c>
      <c r="C29" s="5" t="s">
        <v>17</v>
      </c>
      <c r="D29" s="5" t="s">
        <v>16</v>
      </c>
      <c r="E29" s="5" t="s">
        <v>19</v>
      </c>
      <c r="F29" s="5" t="s">
        <v>18</v>
      </c>
      <c r="I29" s="18">
        <v>0.87013888888888891</v>
      </c>
      <c r="J29" s="18">
        <v>0.92361111111111116</v>
      </c>
      <c r="K29" s="18">
        <f t="shared" si="2"/>
        <v>5.3472222222222254E-2</v>
      </c>
    </row>
    <row r="30" spans="1:11" x14ac:dyDescent="0.25">
      <c r="A30" s="5">
        <f t="shared" si="1"/>
        <v>29</v>
      </c>
      <c r="B30" s="6">
        <v>46139</v>
      </c>
      <c r="C30" s="5" t="s">
        <v>15</v>
      </c>
      <c r="D30" s="5" t="s">
        <v>17</v>
      </c>
      <c r="E30" s="5" t="s">
        <v>18</v>
      </c>
      <c r="F30" s="5" t="s">
        <v>19</v>
      </c>
      <c r="I30" s="18">
        <v>0.86388888888888893</v>
      </c>
      <c r="J30" s="18">
        <v>0.91111111111111109</v>
      </c>
      <c r="K30" s="18">
        <f t="shared" si="2"/>
        <v>4.7222222222222165E-2</v>
      </c>
    </row>
    <row r="31" spans="1:11" x14ac:dyDescent="0.25">
      <c r="A31" s="5">
        <f t="shared" si="1"/>
        <v>30</v>
      </c>
      <c r="B31" s="6">
        <v>46156</v>
      </c>
      <c r="C31" s="5" t="s">
        <v>17</v>
      </c>
      <c r="D31" s="5" t="s">
        <v>15</v>
      </c>
      <c r="E31" s="5" t="s">
        <v>19</v>
      </c>
      <c r="F31" s="5" t="s">
        <v>18</v>
      </c>
      <c r="I31" s="18">
        <v>0.85624999999999996</v>
      </c>
      <c r="J31" s="18">
        <v>0.92708333333333337</v>
      </c>
      <c r="K31" s="18">
        <f t="shared" si="2"/>
        <v>7.0833333333333415E-2</v>
      </c>
    </row>
    <row r="32" spans="1:11" x14ac:dyDescent="0.25">
      <c r="I32" s="18"/>
      <c r="J32" s="18"/>
      <c r="K32" s="1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2" sqref="B2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23</v>
      </c>
      <c r="C2" s="2">
        <f>COUNTIF(Game_Record!C2:C101, "Doanage")</f>
        <v>14</v>
      </c>
      <c r="D2" s="2">
        <f>COUNTIF(Game_Record!D2:D101, "Doanage")</f>
        <v>5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0.60869565217391308</v>
      </c>
      <c r="H2" s="7">
        <f xml:space="preserve"> (C2+D2) / B2</f>
        <v>0.82608695652173914</v>
      </c>
      <c r="I2" s="7">
        <f xml:space="preserve"> B2 / Game_Record!$H$2</f>
        <v>0.76666666666666672</v>
      </c>
      <c r="J2" s="10">
        <f xml:space="preserve"> K2/B2</f>
        <v>3.8260869565217392</v>
      </c>
      <c r="K2" s="2">
        <f xml:space="preserve"> (C2 * 5) + (D2 * 3) + (E2 * 1)</f>
        <v>88</v>
      </c>
    </row>
    <row r="3" spans="1:11" ht="15.75" x14ac:dyDescent="0.25">
      <c r="A3" s="9" t="s">
        <v>16</v>
      </c>
      <c r="B3" s="2">
        <f xml:space="preserve"> C3 + D3 + E3 + F3</f>
        <v>16</v>
      </c>
      <c r="C3" s="2">
        <f>COUNTIF(Game_Record!C2:C101, "SiderFace")</f>
        <v>8</v>
      </c>
      <c r="D3" s="2">
        <f>COUNTIF(Game_Record!D2:D101, "SiderFace")</f>
        <v>6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</v>
      </c>
      <c r="H3" s="7">
        <f xml:space="preserve"> (C3+D3) / B3</f>
        <v>0.875</v>
      </c>
      <c r="I3" s="7">
        <f xml:space="preserve"> B3 / Game_Record!$H$2</f>
        <v>0.53333333333333333</v>
      </c>
      <c r="J3" s="10">
        <f xml:space="preserve"> K3/B3</f>
        <v>3.625</v>
      </c>
      <c r="K3" s="2">
        <f xml:space="preserve"> (C3 * 5) + (D3 * 3) + (E3 * 1)</f>
        <v>58</v>
      </c>
    </row>
    <row r="4" spans="1:11" ht="15.75" x14ac:dyDescent="0.25">
      <c r="A4" s="9" t="s">
        <v>19</v>
      </c>
      <c r="B4" s="2">
        <f xml:space="preserve"> C4 + D4 + E4 + F4</f>
        <v>26</v>
      </c>
      <c r="C4" s="2">
        <f>COUNTIF(Game_Record!C2:C101, "DrSystomatix")</f>
        <v>0</v>
      </c>
      <c r="D4" s="2">
        <f>COUNTIF(Game_Record!D2:D101, "DrSystomatix")</f>
        <v>5</v>
      </c>
      <c r="E4" s="2">
        <f>COUNTIF(Game_Record!E2:E101, "DrSystomatix")</f>
        <v>14</v>
      </c>
      <c r="F4" s="2">
        <f>COUNTIF(Game_Record!F2:F101, "DrSystomatix")</f>
        <v>7</v>
      </c>
      <c r="G4" s="3">
        <f xml:space="preserve"> C4 / B4</f>
        <v>0</v>
      </c>
      <c r="H4" s="7">
        <f xml:space="preserve"> (C4+D4) / B4</f>
        <v>0.19230769230769232</v>
      </c>
      <c r="I4" s="7">
        <f xml:space="preserve"> B4 / Game_Record!$H$2</f>
        <v>0.8666666666666667</v>
      </c>
      <c r="J4" s="10">
        <f xml:space="preserve"> K4/B4</f>
        <v>1.1153846153846154</v>
      </c>
      <c r="K4" s="2">
        <f xml:space="preserve"> (C4 * 5) + (D4 * 3) + (E4 * 1)</f>
        <v>29</v>
      </c>
    </row>
    <row r="5" spans="1:11" ht="15.75" x14ac:dyDescent="0.25">
      <c r="A5" s="9" t="s">
        <v>17</v>
      </c>
      <c r="B5" s="2">
        <f xml:space="preserve"> C5 + D5 + E5 + F5</f>
        <v>27</v>
      </c>
      <c r="C5" s="2">
        <f>COUNTIF(Game_Record!C2:C101, "Player1")</f>
        <v>7</v>
      </c>
      <c r="D5" s="2">
        <f>COUNTIF(Game_Record!D2:D101, "Player1")</f>
        <v>11</v>
      </c>
      <c r="E5" s="2">
        <f>COUNTIF(Game_Record!E2:E101, "Player1")</f>
        <v>5</v>
      </c>
      <c r="F5" s="2">
        <f>COUNTIF(Game_Record!F2:F101, "Player1")</f>
        <v>4</v>
      </c>
      <c r="G5" s="3">
        <f xml:space="preserve"> C5 / B5</f>
        <v>0.25925925925925924</v>
      </c>
      <c r="H5" s="7">
        <f xml:space="preserve"> (C5+D5) / B5</f>
        <v>0.66666666666666663</v>
      </c>
      <c r="I5" s="7">
        <f xml:space="preserve"> B5 / Game_Record!$H$2</f>
        <v>0.9</v>
      </c>
      <c r="J5" s="10">
        <f xml:space="preserve"> K5/B5</f>
        <v>2.7037037037037037</v>
      </c>
      <c r="K5" s="2">
        <f xml:space="preserve"> (C5 * 5) + (D5 * 3) + (E5 * 1)</f>
        <v>73</v>
      </c>
    </row>
    <row r="6" spans="1:11" ht="15.75" x14ac:dyDescent="0.25">
      <c r="A6" s="9" t="s">
        <v>18</v>
      </c>
      <c r="B6" s="2">
        <f xml:space="preserve"> C6 + D6 + E6 + F6</f>
        <v>28</v>
      </c>
      <c r="C6" s="2">
        <f>COUNTIF(Game_Record!C2:C101, "SimpleJack")</f>
        <v>1</v>
      </c>
      <c r="D6" s="2">
        <f>COUNTIF(Game_Record!D2:D101, "SimpleJack")</f>
        <v>3</v>
      </c>
      <c r="E6" s="2">
        <f>COUNTIF(Game_Record!E2:E101, "SimpleJack")</f>
        <v>8</v>
      </c>
      <c r="F6" s="2">
        <f>COUNTIF(Game_Record!F2:F101, "SimpleJack")</f>
        <v>16</v>
      </c>
      <c r="G6" s="3">
        <f xml:space="preserve"> C6 / B6</f>
        <v>3.5714285714285712E-2</v>
      </c>
      <c r="H6" s="7">
        <f xml:space="preserve"> (C6+D6) / B6</f>
        <v>0.14285714285714285</v>
      </c>
      <c r="I6" s="7">
        <f xml:space="preserve"> B6 / Game_Record!$H$2</f>
        <v>0.93333333333333335</v>
      </c>
      <c r="J6" s="10">
        <f xml:space="preserve"> K6/B6</f>
        <v>0.7857142857142857</v>
      </c>
      <c r="K6" s="2">
        <f xml:space="preserve"> (C6 * 5) + (D6 * 3) + (E6 * 1)</f>
        <v>22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Charles Doan</cp:lastModifiedBy>
  <dcterms:created xsi:type="dcterms:W3CDTF">2015-06-05T18:17:20Z</dcterms:created>
  <dcterms:modified xsi:type="dcterms:W3CDTF">2026-07-10T02:46:59Z</dcterms:modified>
</cp:coreProperties>
</file>