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48236D58-AD3C-46D3-B405-7DA87D7A6E58}" xr6:coauthVersionLast="47" xr6:coauthVersionMax="47" xr10:uidLastSave="{00000000-0000-0000-0000-000000000000}"/>
  <bookViews>
    <workbookView xWindow="2175" yWindow="465" windowWidth="22830" windowHeight="12885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1" l="1"/>
  <c r="A28" i="1"/>
  <c r="K27" i="1"/>
  <c r="A27" i="1"/>
  <c r="A26" i="1"/>
  <c r="K26" i="1"/>
  <c r="K25" i="1"/>
  <c r="K24" i="1"/>
  <c r="A25" i="1"/>
  <c r="A24" i="1"/>
  <c r="A23" i="1"/>
  <c r="A22" i="1"/>
  <c r="K23" i="1"/>
  <c r="K22" i="1"/>
  <c r="K21" i="1"/>
  <c r="A20" i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2" i="2" l="1"/>
  <c r="B4" i="2"/>
  <c r="B5" i="2"/>
  <c r="G5" i="2" s="1"/>
  <c r="K6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<sst xmlns="http://schemas.openxmlformats.org/spreadsheetml/2006/main" count="134" uniqueCount="26">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</sst>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A5" workbookViewId="0">
      <selection activeCell="J30" sqref="J30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1" width="13" style="5" customWidth="1"/>
    <col min="12" max="16384" width="9.140625" style="5"/>
  </cols>
  <sheetData>
    <row r="1" spans="1:11" ht="37.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  <c r="K1" s="14" t="s">
        <v>25</v>
      </c>
    </row>
    <row r="2" spans="1:11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27</v>
      </c>
    </row>
    <row r="3" spans="1:11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1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1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1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1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1" x14ac:dyDescent="0.25">
      <c r="A8" s="5">
        <f t="shared" ref="A8:A28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1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1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1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1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1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1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1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1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1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1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1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1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1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  <c r="K21" s="18">
        <f t="shared" ref="K21:K28" si="2">MOD(J21 - I21, 1)</f>
        <v>7.3611111111111072E-2</v>
      </c>
    </row>
    <row r="22" spans="1:11" x14ac:dyDescent="0.25">
      <c r="A22" s="5">
        <f t="shared" si="1"/>
        <v>21</v>
      </c>
      <c r="B22" s="6">
        <v>46058</v>
      </c>
      <c r="C22" s="5" t="s">
        <v>18</v>
      </c>
      <c r="D22" s="5" t="s">
        <v>19</v>
      </c>
      <c r="E22" s="5" t="s">
        <v>15</v>
      </c>
      <c r="F22" s="5" t="s">
        <v>16</v>
      </c>
      <c r="I22" s="18">
        <v>0.87777777777777777</v>
      </c>
      <c r="J22" s="18">
        <v>0.95763888888888893</v>
      </c>
      <c r="K22" s="18">
        <f t="shared" si="2"/>
        <v>7.986111111111116E-2</v>
      </c>
    </row>
    <row r="23" spans="1:11" x14ac:dyDescent="0.25">
      <c r="A23" s="5">
        <f t="shared" si="1"/>
        <v>22</v>
      </c>
      <c r="B23" s="6">
        <v>46063</v>
      </c>
      <c r="C23" s="5" t="s">
        <v>17</v>
      </c>
      <c r="D23" s="5" t="s">
        <v>15</v>
      </c>
      <c r="E23" s="5" t="s">
        <v>19</v>
      </c>
      <c r="F23" s="5" t="s">
        <v>18</v>
      </c>
      <c r="I23" s="18">
        <v>0.86736111111111114</v>
      </c>
      <c r="J23" s="18">
        <v>0.92291666666666672</v>
      </c>
      <c r="K23" s="18">
        <f t="shared" si="2"/>
        <v>5.555555555555558E-2</v>
      </c>
    </row>
    <row r="24" spans="1:11" x14ac:dyDescent="0.25">
      <c r="A24" s="5">
        <f t="shared" si="1"/>
        <v>23</v>
      </c>
      <c r="B24" s="6">
        <v>46080</v>
      </c>
      <c r="C24" s="5" t="s">
        <v>15</v>
      </c>
      <c r="D24" s="5" t="s">
        <v>17</v>
      </c>
      <c r="E24" s="5" t="s">
        <v>19</v>
      </c>
      <c r="F24" s="5" t="s">
        <v>18</v>
      </c>
      <c r="I24" s="18">
        <v>0.87847222222222221</v>
      </c>
      <c r="J24" s="18">
        <v>0.94513888888888886</v>
      </c>
      <c r="K24" s="18">
        <f t="shared" si="2"/>
        <v>6.6666666666666652E-2</v>
      </c>
    </row>
    <row r="25" spans="1:11" x14ac:dyDescent="0.25">
      <c r="A25" s="5">
        <f t="shared" si="1"/>
        <v>24</v>
      </c>
      <c r="B25" s="6">
        <v>46089</v>
      </c>
      <c r="C25" s="5" t="s">
        <v>15</v>
      </c>
      <c r="D25" s="5" t="s">
        <v>17</v>
      </c>
      <c r="E25" s="5" t="s">
        <v>19</v>
      </c>
      <c r="F25" s="5" t="s">
        <v>16</v>
      </c>
      <c r="I25" s="18">
        <v>0.85833333333333328</v>
      </c>
      <c r="J25" s="18">
        <v>0.92361111111111116</v>
      </c>
      <c r="K25" s="18">
        <f t="shared" si="2"/>
        <v>6.5277777777777879E-2</v>
      </c>
    </row>
    <row r="26" spans="1:11" x14ac:dyDescent="0.25">
      <c r="A26" s="5">
        <f t="shared" si="1"/>
        <v>25</v>
      </c>
      <c r="B26" s="6">
        <v>46104</v>
      </c>
      <c r="C26" s="5" t="s">
        <v>15</v>
      </c>
      <c r="D26" s="5" t="s">
        <v>19</v>
      </c>
      <c r="E26" s="5" t="s">
        <v>18</v>
      </c>
      <c r="F26" s="5" t="s">
        <v>17</v>
      </c>
      <c r="I26" s="18">
        <v>0.86111111111111116</v>
      </c>
      <c r="J26" s="18">
        <v>0.91736111111111107</v>
      </c>
      <c r="K26" s="18">
        <f t="shared" si="2"/>
        <v>5.6249999999999911E-2</v>
      </c>
    </row>
    <row r="27" spans="1:11" x14ac:dyDescent="0.25">
      <c r="A27" s="5">
        <f t="shared" si="1"/>
        <v>26</v>
      </c>
      <c r="B27" s="6">
        <v>46118</v>
      </c>
      <c r="C27" s="5" t="s">
        <v>15</v>
      </c>
      <c r="D27" s="5" t="s">
        <v>18</v>
      </c>
      <c r="E27" s="5" t="s">
        <v>19</v>
      </c>
      <c r="F27" s="5" t="s">
        <v>17</v>
      </c>
      <c r="I27" s="18">
        <v>0.87708333333333333</v>
      </c>
      <c r="J27" s="18">
        <v>0.95277777777777772</v>
      </c>
      <c r="K27" s="18">
        <f t="shared" si="2"/>
        <v>7.5694444444444398E-2</v>
      </c>
    </row>
    <row r="28" spans="1:11" x14ac:dyDescent="0.25">
      <c r="A28" s="5">
        <f t="shared" si="1"/>
        <v>27</v>
      </c>
      <c r="B28" s="6">
        <v>46125</v>
      </c>
      <c r="C28" s="5" t="s">
        <v>15</v>
      </c>
      <c r="D28" s="5" t="s">
        <v>17</v>
      </c>
      <c r="E28" s="5" t="s">
        <v>19</v>
      </c>
      <c r="F28" s="5" t="s">
        <v>18</v>
      </c>
      <c r="I28" s="18">
        <v>0.87430555555555556</v>
      </c>
      <c r="J28" s="18">
        <v>0.92986111111111114</v>
      </c>
      <c r="K28" s="18">
        <f t="shared" si="2"/>
        <v>5.555555555555558E-2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B2" sqref="B2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21</v>
      </c>
      <c r="C2" s="2">
        <f>COUNTIF(Game_Record!C2:C101, "Doanage")</f>
        <v>13</v>
      </c>
      <c r="D2" s="2">
        <f>COUNTIF(Game_Record!D2:D101, "Doanage")</f>
        <v>4</v>
      </c>
      <c r="E2" s="2">
        <f>COUNTIF(Game_Record!E2:E101, "Doanage")</f>
        <v>3</v>
      </c>
      <c r="F2" s="2">
        <f>COUNTIF(Game_Record!F2:F101, "Doanage")</f>
        <v>1</v>
      </c>
      <c r="G2" s="3">
        <f xml:space="preserve"> C2 / B2</f>
        <v>0.61904761904761907</v>
      </c>
      <c r="H2" s="7">
        <f xml:space="preserve"> (C2+D2) / B2</f>
        <v>0.80952380952380953</v>
      </c>
      <c r="I2" s="7">
        <f xml:space="preserve"> B2 / Game_Record!$H$2</f>
        <v>0.77777777777777779</v>
      </c>
      <c r="J2" s="10">
        <f xml:space="preserve"> K2/B2</f>
        <v>3.8095238095238093</v>
      </c>
      <c r="K2" s="2">
        <f xml:space="preserve"> (C2 * 5) + (D2 * 3) + (E2 * 1)</f>
        <v>80</v>
      </c>
    </row>
    <row r="3" spans="1:11" ht="15.75" x14ac:dyDescent="0.25">
      <c r="A3" s="9" t="s">
        <v>16</v>
      </c>
      <c r="B3" s="2">
        <f xml:space="preserve"> C3 + D3 + E3 + F3</f>
        <v>15</v>
      </c>
      <c r="C3" s="2">
        <f>COUNTIF(Game_Record!C2:C101, "SiderFace")</f>
        <v>8</v>
      </c>
      <c r="D3" s="2">
        <f>COUNTIF(Game_Record!D2:D101, "SiderFace")</f>
        <v>5</v>
      </c>
      <c r="E3" s="2">
        <f>COUNTIF(Game_Record!E2:E101, "SiderFace")</f>
        <v>0</v>
      </c>
      <c r="F3" s="2">
        <f>COUNTIF(Game_Record!F2:F101, "SiderFace")</f>
        <v>2</v>
      </c>
      <c r="G3" s="3">
        <f xml:space="preserve"> C3 / B3</f>
        <v>0.53333333333333333</v>
      </c>
      <c r="H3" s="7">
        <f xml:space="preserve"> (C3+D3) / B3</f>
        <v>0.8666666666666667</v>
      </c>
      <c r="I3" s="7">
        <f xml:space="preserve"> B3 / Game_Record!$H$2</f>
        <v>0.55555555555555558</v>
      </c>
      <c r="J3" s="10">
        <f xml:space="preserve"> K3/B3</f>
        <v>3.6666666666666665</v>
      </c>
      <c r="K3" s="2">
        <f xml:space="preserve"> (C3 * 5) + (D3 * 3) + (E3 * 1)</f>
        <v>55</v>
      </c>
    </row>
    <row r="4" spans="1:11" ht="15.75" x14ac:dyDescent="0.25">
      <c r="A4" s="9" t="s">
        <v>19</v>
      </c>
      <c r="B4" s="2">
        <f xml:space="preserve"> C4 + D4 + E4 + F4</f>
        <v>23</v>
      </c>
      <c r="C4" s="2">
        <f>COUNTIF(Game_Record!C2:C101, "DrSystomatix")</f>
        <v>0</v>
      </c>
      <c r="D4" s="2">
        <f>COUNTIF(Game_Record!D2:D101, "DrSystomatix")</f>
        <v>5</v>
      </c>
      <c r="E4" s="2">
        <f>COUNTIF(Game_Record!E2:E101, "DrSystomatix")</f>
        <v>12</v>
      </c>
      <c r="F4" s="2">
        <f>COUNTIF(Game_Record!F2:F101, "DrSystomatix")</f>
        <v>6</v>
      </c>
      <c r="G4" s="3">
        <f xml:space="preserve"> C4 / B4</f>
        <v>0</v>
      </c>
      <c r="H4" s="7">
        <f xml:space="preserve"> (C4+D4) / B4</f>
        <v>0.21739130434782608</v>
      </c>
      <c r="I4" s="7">
        <f xml:space="preserve"> B4 / Game_Record!$H$2</f>
        <v>0.85185185185185186</v>
      </c>
      <c r="J4" s="10">
        <f xml:space="preserve"> K4/B4</f>
        <v>1.173913043478261</v>
      </c>
      <c r="K4" s="2">
        <f xml:space="preserve"> (C4 * 5) + (D4 * 3) + (E4 * 1)</f>
        <v>27</v>
      </c>
    </row>
    <row r="5" spans="1:11" ht="15.75" x14ac:dyDescent="0.25">
      <c r="A5" s="9" t="s">
        <v>17</v>
      </c>
      <c r="B5" s="2">
        <f xml:space="preserve"> C5 + D5 + E5 + F5</f>
        <v>24</v>
      </c>
      <c r="C5" s="2">
        <f>COUNTIF(Game_Record!C2:C101, "Player1")</f>
        <v>5</v>
      </c>
      <c r="D5" s="2">
        <f>COUNTIF(Game_Record!D2:D101, "Player1")</f>
        <v>10</v>
      </c>
      <c r="E5" s="2">
        <f>COUNTIF(Game_Record!E2:E101, "Player1")</f>
        <v>5</v>
      </c>
      <c r="F5" s="2">
        <f>COUNTIF(Game_Record!F2:F101, "Player1")</f>
        <v>4</v>
      </c>
      <c r="G5" s="3">
        <f xml:space="preserve"> C5 / B5</f>
        <v>0.20833333333333334</v>
      </c>
      <c r="H5" s="7">
        <f xml:space="preserve"> (C5+D5) / B5</f>
        <v>0.625</v>
      </c>
      <c r="I5" s="7">
        <f xml:space="preserve"> B5 / Game_Record!$H$2</f>
        <v>0.88888888888888884</v>
      </c>
      <c r="J5" s="10">
        <f xml:space="preserve"> K5/B5</f>
        <v>2.5</v>
      </c>
      <c r="K5" s="2">
        <f xml:space="preserve"> (C5 * 5) + (D5 * 3) + (E5 * 1)</f>
        <v>60</v>
      </c>
    </row>
    <row r="6" spans="1:11" ht="15.75" x14ac:dyDescent="0.25">
      <c r="A6" s="9" t="s">
        <v>18</v>
      </c>
      <c r="B6" s="2">
        <f xml:space="preserve"> C6 + D6 + E6 + F6</f>
        <v>25</v>
      </c>
      <c r="C6" s="2">
        <f>COUNTIF(Game_Record!C2:C101, "SimpleJack")</f>
        <v>1</v>
      </c>
      <c r="D6" s="2">
        <f>COUNTIF(Game_Record!D2:D101, "SimpleJack")</f>
        <v>3</v>
      </c>
      <c r="E6" s="2">
        <f>COUNTIF(Game_Record!E2:E101, "SimpleJack")</f>
        <v>7</v>
      </c>
      <c r="F6" s="2">
        <f>COUNTIF(Game_Record!F2:F101, "SimpleJack")</f>
        <v>14</v>
      </c>
      <c r="G6" s="3">
        <f xml:space="preserve"> C6 / B6</f>
        <v>0.04</v>
      </c>
      <c r="H6" s="7">
        <f xml:space="preserve"> (C6+D6) / B6</f>
        <v>0.16</v>
      </c>
      <c r="I6" s="7">
        <f xml:space="preserve"> B6 / Game_Record!$H$2</f>
        <v>0.92592592592592593</v>
      </c>
      <c r="J6" s="10">
        <f xml:space="preserve"> K6/B6</f>
        <v>0.84</v>
      </c>
      <c r="K6" s="2">
        <f xml:space="preserve"> (C6 * 5) + (D6 * 3) + (E6 * 1)</f>
        <v>21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2026-04-14T02:21:33Z</dcterms:modified>
</cp:coreProperties>
</file>