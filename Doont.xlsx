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cmatt\OneDrive\doont\"/>
    </mc:Choice>
  </mc:AlternateContent>
  <xr:revisionPtr revIDLastSave="0" documentId="13_ncr:1_{586DC36E-6749-40DA-B243-B3C36DFCEDC4}" xr6:coauthVersionLast="47" xr6:coauthVersionMax="47" xr10:uidLastSave="{00000000-0000-0000-0000-000000000000}"/>
  <bookViews>
    <workbookView xWindow="2925" yWindow="930" windowWidth="23550" windowHeight="11880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1" l="1"/>
  <c r="A23" i="1"/>
  <c r="K22" i="1"/>
  <c r="K21" i="1"/>
  <c r="A22" i="1"/>
  <c r="A20" i="1"/>
  <c r="A21" i="1"/>
  <c r="A18" i="1"/>
  <c r="A19" i="1"/>
  <c r="A16" i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4" i="2" l="1"/>
  <c r="B5" i="2"/>
  <c r="G5" i="2" s="1"/>
  <c r="K6" i="2"/>
  <c r="B2" i="2"/>
  <c r="B6" i="2"/>
  <c r="I6" i="2" s="1"/>
  <c r="K4" i="2"/>
  <c r="K5" i="2"/>
  <c r="B3" i="2"/>
  <c r="K3" i="2"/>
  <c r="K2" i="2"/>
  <c r="H5" i="2" l="1"/>
  <c r="H6" i="2"/>
  <c r="J4" i="2"/>
  <c r="I5" i="2"/>
  <c r="I3" i="2"/>
  <c r="I4" i="2"/>
  <c r="H2" i="2"/>
  <c r="I2" i="2"/>
  <c r="H3" i="2"/>
  <c r="G3" i="2"/>
  <c r="J3" i="2"/>
  <c r="J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<sst xmlns="http://schemas.openxmlformats.org/spreadsheetml/2006/main" count="114" uniqueCount="26">
  <si>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</si>
  <si>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</si>
  <si>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</si>
  <si>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</si>
  <si>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</si>
  <si>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</si>
  <si>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</si>
  <si>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</si>
  <si>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</si>
  <si>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</si>
  <si>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</si>
  <si>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</si>
  <si>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</si>
  <si>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</si>
  <si>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</si>
  <si>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</si>
  <si>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</si>
  <si>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</si>
  <si>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</si>
  <si>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</si>
  <si>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</si>
  <si>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</si>
  <si>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</si>
  <si>
    <t>Start</t>
  </si>
  <si>
    <t>End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</si>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</sst>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topLeftCell="A5" workbookViewId="0">
      <selection activeCell="K21" sqref="K21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9" width="13.5703125" style="5" customWidth="1"/>
    <col min="10" max="10" width="12.85546875" style="5" customWidth="1"/>
    <col min="11" max="11" width="13" style="5" customWidth="1"/>
    <col min="12" max="16384" width="9.140625" style="5"/>
  </cols>
  <sheetData>
    <row r="1" spans="1:11" ht="37.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  <c r="I1" s="14" t="s">
        <v>23</v>
      </c>
      <c r="J1" s="14" t="s">
        <v>24</v>
      </c>
      <c r="K1" s="14" t="s">
        <v>25</v>
      </c>
    </row>
    <row r="2" spans="1:11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COUNTA(Game_Record!B2:B101)</f>
        <v>22</v>
      </c>
    </row>
    <row r="3" spans="1:11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11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11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11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11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11" x14ac:dyDescent="0.25">
      <c r="A8" s="5">
        <f t="shared" ref="A8:A23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11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11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11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11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11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11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11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11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11" x14ac:dyDescent="0.25">
      <c r="A17" s="5">
        <f t="shared" si="1"/>
        <v>16</v>
      </c>
      <c r="B17" s="6">
        <v>45981</v>
      </c>
      <c r="C17" s="5" t="s">
        <v>16</v>
      </c>
      <c r="D17" s="5" t="s">
        <v>17</v>
      </c>
      <c r="E17" s="5" t="s">
        <v>15</v>
      </c>
      <c r="F17" s="5" t="s">
        <v>18</v>
      </c>
    </row>
    <row r="18" spans="1:11" x14ac:dyDescent="0.25">
      <c r="A18" s="5">
        <f t="shared" si="1"/>
        <v>17</v>
      </c>
      <c r="B18" s="6">
        <v>46006</v>
      </c>
      <c r="C18" s="5" t="s">
        <v>16</v>
      </c>
      <c r="D18" s="5" t="s">
        <v>19</v>
      </c>
      <c r="E18" s="5" t="s">
        <v>17</v>
      </c>
      <c r="F18" s="5" t="s">
        <v>18</v>
      </c>
    </row>
    <row r="19" spans="1:11" x14ac:dyDescent="0.25">
      <c r="A19" s="5">
        <f t="shared" si="1"/>
        <v>18</v>
      </c>
      <c r="B19" s="6">
        <v>46027</v>
      </c>
      <c r="C19" s="5" t="s">
        <v>16</v>
      </c>
      <c r="D19" s="5" t="s">
        <v>17</v>
      </c>
      <c r="E19" s="5" t="s">
        <v>18</v>
      </c>
      <c r="F19" s="5" t="s">
        <v>19</v>
      </c>
    </row>
    <row r="20" spans="1:11" x14ac:dyDescent="0.25">
      <c r="A20" s="5">
        <f t="shared" si="1"/>
        <v>19</v>
      </c>
      <c r="B20" s="6">
        <v>46032</v>
      </c>
      <c r="C20" s="5" t="s">
        <v>16</v>
      </c>
      <c r="D20" s="5" t="s">
        <v>17</v>
      </c>
      <c r="E20" s="5" t="s">
        <v>15</v>
      </c>
      <c r="F20" s="5" t="s">
        <v>18</v>
      </c>
    </row>
    <row r="21" spans="1:11" x14ac:dyDescent="0.25">
      <c r="A21" s="5">
        <f t="shared" si="1"/>
        <v>20</v>
      </c>
      <c r="B21" s="6">
        <v>46050</v>
      </c>
      <c r="C21" s="5" t="s">
        <v>17</v>
      </c>
      <c r="D21" s="5" t="s">
        <v>18</v>
      </c>
      <c r="E21" s="5" t="s">
        <v>19</v>
      </c>
      <c r="F21" s="5" t="s">
        <v>15</v>
      </c>
      <c r="I21" s="18">
        <v>0.87222222222222223</v>
      </c>
      <c r="J21" s="18">
        <v>0.9458333333333333</v>
      </c>
      <c r="K21" s="18">
        <f>MOD(J21 - I21, 1)</f>
        <v>7.3611111111111072E-2</v>
      </c>
    </row>
    <row r="22" spans="1:11" x14ac:dyDescent="0.25">
      <c r="A22" s="5">
        <f t="shared" si="1"/>
        <v>21</v>
      </c>
      <c r="B22" s="6">
        <v>46058</v>
      </c>
      <c r="C22" s="5" t="s">
        <v>18</v>
      </c>
      <c r="D22" s="5" t="s">
        <v>19</v>
      </c>
      <c r="E22" s="5" t="s">
        <v>15</v>
      </c>
      <c r="F22" s="5" t="s">
        <v>16</v>
      </c>
      <c r="I22" s="18">
        <v>0.87777777777777777</v>
      </c>
      <c r="J22" s="18">
        <v>0.95763888888888893</v>
      </c>
      <c r="K22" s="18">
        <f>MOD(J22 - I22, 1)</f>
        <v>7.986111111111116E-2</v>
      </c>
    </row>
    <row r="23" spans="1:11" x14ac:dyDescent="0.25">
      <c r="A23" s="5">
        <f t="shared" si="1"/>
        <v>22</v>
      </c>
      <c r="B23" s="6">
        <v>46063</v>
      </c>
      <c r="C23" s="5" t="s">
        <v>17</v>
      </c>
      <c r="D23" s="5" t="s">
        <v>15</v>
      </c>
      <c r="E23" s="5" t="s">
        <v>19</v>
      </c>
      <c r="F23" s="5" t="s">
        <v>18</v>
      </c>
      <c r="I23" s="18">
        <v>0.86736111111111114</v>
      </c>
      <c r="J23" s="18">
        <v>0.92291666666666672</v>
      </c>
      <c r="K23" s="18">
        <f>MOD(J23 - I23, 1)</f>
        <v>5.555555555555558E-2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B14" sqref="B14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16</v>
      </c>
      <c r="C2" s="2">
        <f>COUNTIF(Game_Record!C2:C101, "Doanage")</f>
        <v>8</v>
      </c>
      <c r="D2" s="2">
        <f>COUNTIF(Game_Record!D2:D101, "Doanage")</f>
        <v>4</v>
      </c>
      <c r="E2" s="2">
        <f>COUNTIF(Game_Record!E2:E101, "Doanage")</f>
        <v>3</v>
      </c>
      <c r="F2" s="2">
        <f>COUNTIF(Game_Record!F2:F101, "Doanage")</f>
        <v>1</v>
      </c>
      <c r="G2" s="3">
        <f xml:space="preserve"> C2 / B2</f>
        <v>0.5</v>
      </c>
      <c r="H2" s="7">
        <f xml:space="preserve"> (C2+D2) / B2</f>
        <v>0.75</v>
      </c>
      <c r="I2" s="7">
        <f xml:space="preserve"> B2 / Game_Record!$H$2</f>
        <v>0.72727272727272729</v>
      </c>
      <c r="J2" s="10">
        <f xml:space="preserve"> K2/B2</f>
        <v>3.4375</v>
      </c>
      <c r="K2" s="2">
        <f xml:space="preserve"> (C2 * 5) + (D2 * 3) + (E2 * 1)</f>
        <v>55</v>
      </c>
    </row>
    <row r="3" spans="1:11" ht="15.75" x14ac:dyDescent="0.25">
      <c r="A3" s="9" t="s">
        <v>16</v>
      </c>
      <c r="B3" s="2">
        <f xml:space="preserve"> C3 + D3 + E3 + F3</f>
        <v>14</v>
      </c>
      <c r="C3" s="2">
        <f>COUNTIF(Game_Record!C2:C101, "SiderFace")</f>
        <v>8</v>
      </c>
      <c r="D3" s="2">
        <f>COUNTIF(Game_Record!D2:D101, "SiderFace")</f>
        <v>5</v>
      </c>
      <c r="E3" s="2">
        <f>COUNTIF(Game_Record!E2:E101, "SiderFace")</f>
        <v>0</v>
      </c>
      <c r="F3" s="2">
        <f>COUNTIF(Game_Record!F2:F101, "SiderFace")</f>
        <v>1</v>
      </c>
      <c r="G3" s="3">
        <f xml:space="preserve"> C3 / B3</f>
        <v>0.5714285714285714</v>
      </c>
      <c r="H3" s="7">
        <f xml:space="preserve"> (C3+D3) / B3</f>
        <v>0.9285714285714286</v>
      </c>
      <c r="I3" s="7">
        <f xml:space="preserve"> B3 / Game_Record!$H$2</f>
        <v>0.63636363636363635</v>
      </c>
      <c r="J3" s="10">
        <f xml:space="preserve"> K3/B3</f>
        <v>3.9285714285714284</v>
      </c>
      <c r="K3" s="2">
        <f xml:space="preserve"> (C3 * 5) + (D3 * 3) + (E3 * 1)</f>
        <v>55</v>
      </c>
    </row>
    <row r="4" spans="1:11" ht="15.75" x14ac:dyDescent="0.25">
      <c r="A4" s="9" t="s">
        <v>19</v>
      </c>
      <c r="B4" s="2">
        <f xml:space="preserve"> C4 + D4 + E4 + F4</f>
        <v>18</v>
      </c>
      <c r="C4" s="2">
        <f>COUNTIF(Game_Record!C2:C101, "DrSystomatix")</f>
        <v>0</v>
      </c>
      <c r="D4" s="2">
        <f>COUNTIF(Game_Record!D2:D101, "DrSystomatix")</f>
        <v>4</v>
      </c>
      <c r="E4" s="2">
        <f>COUNTIF(Game_Record!E2:E101, "DrSystomatix")</f>
        <v>8</v>
      </c>
      <c r="F4" s="2">
        <f>COUNTIF(Game_Record!F2:F101, "DrSystomatix")</f>
        <v>6</v>
      </c>
      <c r="G4" s="3">
        <f xml:space="preserve"> C4 / B4</f>
        <v>0</v>
      </c>
      <c r="H4" s="7">
        <f xml:space="preserve"> (C4+D4) / B4</f>
        <v>0.22222222222222221</v>
      </c>
      <c r="I4" s="7">
        <f xml:space="preserve"> B4 / Game_Record!$H$2</f>
        <v>0.81818181818181823</v>
      </c>
      <c r="J4" s="10">
        <f xml:space="preserve"> K4/B4</f>
        <v>1.1111111111111112</v>
      </c>
      <c r="K4" s="2">
        <f xml:space="preserve"> (C4 * 5) + (D4 * 3) + (E4 * 1)</f>
        <v>20</v>
      </c>
    </row>
    <row r="5" spans="1:11" ht="15.75" x14ac:dyDescent="0.25">
      <c r="A5" s="9" t="s">
        <v>17</v>
      </c>
      <c r="B5" s="2">
        <f xml:space="preserve"> C5 + D5 + E5 + F5</f>
        <v>19</v>
      </c>
      <c r="C5" s="2">
        <f>COUNTIF(Game_Record!C2:C101, "Player1")</f>
        <v>5</v>
      </c>
      <c r="D5" s="2">
        <f>COUNTIF(Game_Record!D2:D101, "Player1")</f>
        <v>7</v>
      </c>
      <c r="E5" s="2">
        <f>COUNTIF(Game_Record!E2:E101, "Player1")</f>
        <v>5</v>
      </c>
      <c r="F5" s="2">
        <f>COUNTIF(Game_Record!F2:F101, "Player1")</f>
        <v>2</v>
      </c>
      <c r="G5" s="3">
        <f xml:space="preserve"> C5 / B5</f>
        <v>0.26315789473684209</v>
      </c>
      <c r="H5" s="7">
        <f xml:space="preserve"> (C5+D5) / B5</f>
        <v>0.63157894736842102</v>
      </c>
      <c r="I5" s="7">
        <f xml:space="preserve"> B5 / Game_Record!$H$2</f>
        <v>0.86363636363636365</v>
      </c>
      <c r="J5" s="10">
        <f xml:space="preserve"> K5/B5</f>
        <v>2.6842105263157894</v>
      </c>
      <c r="K5" s="2">
        <f xml:space="preserve"> (C5 * 5) + (D5 * 3) + (E5 * 1)</f>
        <v>51</v>
      </c>
    </row>
    <row r="6" spans="1:11" ht="15.75" x14ac:dyDescent="0.25">
      <c r="A6" s="9" t="s">
        <v>18</v>
      </c>
      <c r="B6" s="2">
        <f xml:space="preserve"> C6 + D6 + E6 + F6</f>
        <v>21</v>
      </c>
      <c r="C6" s="2">
        <f>COUNTIF(Game_Record!C2:C101, "SimpleJack")</f>
        <v>1</v>
      </c>
      <c r="D6" s="2">
        <f>COUNTIF(Game_Record!D2:D101, "SimpleJack")</f>
        <v>2</v>
      </c>
      <c r="E6" s="2">
        <f>COUNTIF(Game_Record!E2:E101, "SimpleJack")</f>
        <v>6</v>
      </c>
      <c r="F6" s="2">
        <f>COUNTIF(Game_Record!F2:F101, "SimpleJack")</f>
        <v>12</v>
      </c>
      <c r="G6" s="3">
        <f xml:space="preserve"> C6 / B6</f>
        <v>4.7619047619047616E-2</v>
      </c>
      <c r="H6" s="7">
        <f xml:space="preserve"> (C6+D6) / B6</f>
        <v>0.14285714285714285</v>
      </c>
      <c r="I6" s="7">
        <f xml:space="preserve"> B6 / Game_Record!$H$2</f>
        <v>0.95454545454545459</v>
      </c>
      <c r="J6" s="10">
        <f xml:space="preserve"> K6/B6</f>
        <v>0.80952380952380953</v>
      </c>
      <c r="K6" s="2">
        <f xml:space="preserve"> (C6 * 5) + (D6 * 3) + (E6 * 1)</f>
        <v>17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Doan, Charles M.</cp:lastModifiedBy>
  <dcterms:created xsi:type="dcterms:W3CDTF">2015-06-05T18:17:20Z</dcterms:created>
  <dcterms:modified xsi:type="dcterms:W3CDTF">2026-02-11T03:11:25Z</dcterms:modified>
</cp:coreProperties>
</file>